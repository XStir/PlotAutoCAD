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R:\"/>
    </mc:Choice>
  </mc:AlternateContent>
  <bookViews>
    <workbookView xWindow="0" yWindow="0" windowWidth="20385" windowHeight="7950"/>
  </bookViews>
  <sheets>
    <sheet name="XX工点" sheetId="2" r:id="rId1"/>
  </sheets>
  <functionGroups builtInGroupCount="18"/>
  <calcPr calcId="162913"/>
</workbook>
</file>

<file path=xl/calcChain.xml><?xml version="1.0" encoding="utf-8"?>
<calcChain xmlns="http://schemas.openxmlformats.org/spreadsheetml/2006/main">
  <c r="M6" i="2" l="1"/>
  <c r="M2" i="2" l="1"/>
  <c r="C44" i="2" l="1"/>
  <c r="C45" i="2"/>
  <c r="C46" i="2"/>
  <c r="C3" i="2"/>
  <c r="C4" i="2"/>
  <c r="C5" i="2"/>
  <c r="C6" i="2"/>
  <c r="C7" i="2"/>
  <c r="C8" i="2"/>
  <c r="C11" i="2"/>
  <c r="C14" i="2"/>
  <c r="C15" i="2"/>
  <c r="C26" i="2"/>
  <c r="C27" i="2"/>
  <c r="C28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2" i="2"/>
</calcChain>
</file>

<file path=xl/sharedStrings.xml><?xml version="1.0" encoding="utf-8"?>
<sst xmlns="http://schemas.openxmlformats.org/spreadsheetml/2006/main" count="214" uniqueCount="80">
  <si>
    <t>图纸</t>
  </si>
  <si>
    <t>已放置</t>
  </si>
  <si>
    <t>备注</t>
  </si>
  <si>
    <t>平面布置图/底图</t>
  </si>
  <si>
    <t>袋装水泥库</t>
  </si>
  <si>
    <t>外加剂存放区</t>
  </si>
  <si>
    <t>炸药库</t>
  </si>
  <si>
    <t>砂石料仓</t>
  </si>
  <si>
    <t>变压器</t>
  </si>
  <si>
    <t>周转材料</t>
  </si>
  <si>
    <t>乙炔</t>
  </si>
  <si>
    <t>油料库</t>
  </si>
  <si>
    <t>雷管库</t>
  </si>
  <si>
    <t>钢筋存放</t>
  </si>
  <si>
    <t>安全展示厅</t>
  </si>
  <si>
    <t>视频监控</t>
  </si>
  <si>
    <t>物资库房</t>
  </si>
  <si>
    <t>八牌二图</t>
  </si>
  <si>
    <t>消防器材若干</t>
  </si>
  <si>
    <t>安全、文化宣传栏</t>
  </si>
  <si>
    <t>氧气库</t>
  </si>
  <si>
    <t>交通标志（行车行人）</t>
  </si>
  <si>
    <t>电力缆线布置</t>
  </si>
  <si>
    <t>给排水</t>
  </si>
  <si>
    <t>轴流风机</t>
    <phoneticPr fontId="1" type="noConversion"/>
  </si>
  <si>
    <t>应急宿舍</t>
    <phoneticPr fontId="1" type="noConversion"/>
  </si>
  <si>
    <t>标养室</t>
    <phoneticPr fontId="1" type="noConversion"/>
  </si>
  <si>
    <t>钢筋加工</t>
    <phoneticPr fontId="1" type="noConversion"/>
  </si>
  <si>
    <t>竖井空压机</t>
    <phoneticPr fontId="1" type="noConversion"/>
  </si>
  <si>
    <t>斜井空压机</t>
    <phoneticPr fontId="1" type="noConversion"/>
  </si>
  <si>
    <t>斜井临时渣场</t>
    <phoneticPr fontId="1" type="noConversion"/>
  </si>
  <si>
    <t>竖井临时渣场</t>
    <phoneticPr fontId="1" type="noConversion"/>
  </si>
  <si>
    <t>斜井洗车槽</t>
    <phoneticPr fontId="1" type="noConversion"/>
  </si>
  <si>
    <t>斜井一级沉淀池</t>
    <phoneticPr fontId="1" type="noConversion"/>
  </si>
  <si>
    <t>斜井二级沉淀池</t>
    <phoneticPr fontId="1" type="noConversion"/>
  </si>
  <si>
    <t>斜井三级沉淀池</t>
    <phoneticPr fontId="1" type="noConversion"/>
  </si>
  <si>
    <t>竖井洗车槽</t>
    <phoneticPr fontId="1" type="noConversion"/>
  </si>
  <si>
    <t>竖井一级沉淀池</t>
    <phoneticPr fontId="1" type="noConversion"/>
  </si>
  <si>
    <t>竖井三级沉淀池</t>
    <phoneticPr fontId="1" type="noConversion"/>
  </si>
  <si>
    <t>竖井二级沉淀池</t>
    <phoneticPr fontId="1" type="noConversion"/>
  </si>
  <si>
    <t>斜井警卫室</t>
    <phoneticPr fontId="1" type="noConversion"/>
  </si>
  <si>
    <t>竖井警卫室</t>
    <phoneticPr fontId="1" type="noConversion"/>
  </si>
  <si>
    <t>卫生间2</t>
    <phoneticPr fontId="1" type="noConversion"/>
  </si>
  <si>
    <t>卫生间1</t>
    <phoneticPr fontId="1" type="noConversion"/>
  </si>
  <si>
    <t>办公室1</t>
    <phoneticPr fontId="1" type="noConversion"/>
  </si>
  <si>
    <t>办公室2</t>
    <phoneticPr fontId="1" type="noConversion"/>
  </si>
  <si>
    <t>车位</t>
    <phoneticPr fontId="1" type="noConversion"/>
  </si>
  <si>
    <t>物件名称
（写在场布图上）</t>
    <phoneticPr fontId="1" type="noConversion"/>
  </si>
  <si>
    <t>物件</t>
    <phoneticPr fontId="1" type="noConversion"/>
  </si>
  <si>
    <t>是否要放置</t>
    <phoneticPr fontId="1" type="noConversion"/>
  </si>
  <si>
    <t>附图</t>
    <phoneticPr fontId="1" type="noConversion"/>
  </si>
  <si>
    <t>N</t>
  </si>
  <si>
    <t>Y</t>
  </si>
  <si>
    <t>物件类型</t>
    <phoneticPr fontId="1" type="noConversion"/>
  </si>
  <si>
    <t>Rectangle</t>
  </si>
  <si>
    <t>竖直边长</t>
    <phoneticPr fontId="1" type="noConversion"/>
  </si>
  <si>
    <t>水平边长
(线段长度)
(直径)</t>
    <phoneticPr fontId="1" type="noConversion"/>
  </si>
  <si>
    <t>时间：</t>
    <phoneticPr fontId="1" type="noConversion"/>
  </si>
  <si>
    <t>最后更新：</t>
    <phoneticPr fontId="1" type="noConversion"/>
  </si>
  <si>
    <t>个数
默认1个</t>
    <phoneticPr fontId="1" type="noConversion"/>
  </si>
  <si>
    <t>Line</t>
  </si>
  <si>
    <t>lisp文件生成路径：</t>
    <phoneticPr fontId="1" type="noConversion"/>
  </si>
  <si>
    <t>最大文字高度：</t>
    <phoneticPr fontId="1" type="noConversion"/>
  </si>
  <si>
    <t>最小文字高度：</t>
    <phoneticPr fontId="1" type="noConversion"/>
  </si>
  <si>
    <t>常规文字高度：</t>
    <phoneticPr fontId="1" type="noConversion"/>
  </si>
  <si>
    <t>行距比例：</t>
    <phoneticPr fontId="1" type="noConversion"/>
  </si>
  <si>
    <t>编制信息</t>
    <phoneticPr fontId="1" type="noConversion"/>
  </si>
  <si>
    <t>Rectangle</t>
    <phoneticPr fontId="1" type="noConversion"/>
  </si>
  <si>
    <t>N</t>
    <phoneticPr fontId="1" type="noConversion"/>
  </si>
  <si>
    <t>空压机</t>
    <phoneticPr fontId="1" type="noConversion"/>
  </si>
  <si>
    <t>临时渣场</t>
  </si>
  <si>
    <t>洗车槽</t>
  </si>
  <si>
    <t>一级沉淀池</t>
  </si>
  <si>
    <t>二级沉淀池</t>
  </si>
  <si>
    <t>三级沉淀池</t>
  </si>
  <si>
    <t>警卫室</t>
    <phoneticPr fontId="1" type="noConversion"/>
  </si>
  <si>
    <t>搅拌站</t>
    <phoneticPr fontId="1" type="noConversion"/>
  </si>
  <si>
    <t>水泥罐</t>
    <phoneticPr fontId="1" type="noConversion"/>
  </si>
  <si>
    <t>Circle</t>
  </si>
  <si>
    <t>d:\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</si>
</sst>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&quot;年&quot;m&quot;月&quot;d&quot;日&quot;\ h&quot;时&quot;mm&quot;分&quot;"/>
  </numFmts>
  <fonts count="4" x14ac:knownFonts="1"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3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 wrapText="1"/>
      <protection locked="0"/>
    </xf>
    <xf numFmtId="176" fontId="0" fillId="0" borderId="0" xfId="0" applyNumberForma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</cellXfs>
  <cellStyles count="1">
    <cellStyle name="常规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17</xdr:row>
          <xdr:rowOff>19050</xdr:rowOff>
        </xdr:from>
        <xdr:to>
          <xdr:col>11</xdr:col>
          <xdr:colOff>1219200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生成Lisp!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6"/>
  <sheetViews>
    <sheetView tabSelected="1" workbookViewId="0">
      <pane ySplit="1" topLeftCell="A2" activePane="bottomLeft" state="frozen"/>
      <selection pane="bottomLeft" activeCell="J15" sqref="J15"/>
    </sheetView>
  </sheetViews>
  <sheetFormatPr defaultColWidth="9" defaultRowHeight="14.25" x14ac:dyDescent="0.2"/>
  <cols>
    <col min="1" max="1" width="9" style="6"/>
    <col min="2" max="2" width="25.125" style="6" customWidth="1"/>
    <col min="3" max="3" width="20.375" style="6" customWidth="1"/>
    <col min="4" max="4" width="6.25" style="7" customWidth="1"/>
    <col min="5" max="5" width="6.5" style="7" customWidth="1"/>
    <col min="6" max="6" width="9.625" style="6" bestFit="1" customWidth="1"/>
    <col min="7" max="7" width="10" style="8" customWidth="1"/>
    <col min="8" max="8" width="9" style="8"/>
    <col min="9" max="9" width="7.25" style="8" customWidth="1"/>
    <col min="10" max="11" width="9" style="6"/>
    <col min="12" max="12" width="16.5" style="13" customWidth="1"/>
    <col min="13" max="13" width="43.625" style="6" customWidth="1"/>
    <col min="14" max="16384" width="9" style="6"/>
  </cols>
  <sheetData>
    <row r="1" spans="1:13" ht="42.75" x14ac:dyDescent="0.2">
      <c r="A1" s="2" t="s">
        <v>0</v>
      </c>
      <c r="B1" s="3" t="s">
        <v>48</v>
      </c>
      <c r="C1" s="1" t="s">
        <v>47</v>
      </c>
      <c r="D1" s="2" t="s">
        <v>1</v>
      </c>
      <c r="E1" s="4" t="s">
        <v>49</v>
      </c>
      <c r="F1" s="3" t="s">
        <v>53</v>
      </c>
      <c r="G1" s="11" t="s">
        <v>56</v>
      </c>
      <c r="H1" s="11" t="s">
        <v>55</v>
      </c>
      <c r="I1" s="11" t="s">
        <v>59</v>
      </c>
      <c r="J1" s="2" t="s">
        <v>2</v>
      </c>
      <c r="L1" s="12" t="s">
        <v>66</v>
      </c>
    </row>
    <row r="2" spans="1:13" ht="14.25" customHeight="1" x14ac:dyDescent="0.2">
      <c r="A2" s="21" t="s">
        <v>3</v>
      </c>
      <c r="B2" s="6" t="s">
        <v>4</v>
      </c>
      <c r="C2" s="6" t="str">
        <f>B2</f>
        <v>袋装水泥库</v>
      </c>
      <c r="D2" s="17" t="s">
        <v>51</v>
      </c>
      <c r="E2" s="5" t="s">
        <v>52</v>
      </c>
      <c r="F2" s="7" t="s">
        <v>54</v>
      </c>
      <c r="G2" s="8">
        <v>5</v>
      </c>
      <c r="H2" s="8">
        <v>3</v>
      </c>
      <c r="L2" s="12" t="s">
        <v>57</v>
      </c>
      <c r="M2" s="14">
        <f ca="1">NOW()</f>
        <v>43269.394263078706</v>
      </c>
    </row>
    <row r="3" spans="1:13" ht="14.25" customHeight="1" x14ac:dyDescent="0.2">
      <c r="A3" s="22"/>
      <c r="B3" s="5" t="s">
        <v>46</v>
      </c>
      <c r="C3" s="6" t="str">
        <f t="shared" ref="C3:C46" si="0">B3</f>
        <v>车位</v>
      </c>
      <c r="D3" s="17" t="s">
        <v>51</v>
      </c>
      <c r="E3" s="17" t="s">
        <v>52</v>
      </c>
      <c r="F3" s="16" t="s">
        <v>67</v>
      </c>
      <c r="G3" s="8">
        <v>2.8</v>
      </c>
      <c r="H3" s="8">
        <v>5</v>
      </c>
      <c r="I3" s="8">
        <v>3</v>
      </c>
      <c r="L3" s="12" t="s">
        <v>58</v>
      </c>
    </row>
    <row r="4" spans="1:13" ht="14.25" customHeight="1" x14ac:dyDescent="0.2">
      <c r="A4" s="22"/>
      <c r="B4" s="5" t="s">
        <v>26</v>
      </c>
      <c r="C4" s="6" t="str">
        <f t="shared" si="0"/>
        <v>标养室</v>
      </c>
      <c r="D4" s="17" t="s">
        <v>51</v>
      </c>
      <c r="E4" s="17" t="s">
        <v>52</v>
      </c>
      <c r="F4" s="7" t="s">
        <v>54</v>
      </c>
      <c r="G4" s="8">
        <v>5</v>
      </c>
      <c r="H4" s="8">
        <v>5</v>
      </c>
      <c r="L4" s="12" t="s">
        <v>61</v>
      </c>
      <c r="M4" s="19" t="s">
        <v>79</v>
      </c>
    </row>
    <row r="5" spans="1:13" x14ac:dyDescent="0.2">
      <c r="A5" s="22"/>
      <c r="B5" s="6" t="s">
        <v>5</v>
      </c>
      <c r="C5" s="6" t="str">
        <f t="shared" si="0"/>
        <v>外加剂存放区</v>
      </c>
      <c r="D5" s="17" t="s">
        <v>51</v>
      </c>
      <c r="E5" s="17" t="s">
        <v>52</v>
      </c>
      <c r="F5" s="7" t="s">
        <v>54</v>
      </c>
      <c r="G5" s="8">
        <v>4</v>
      </c>
      <c r="H5" s="9">
        <v>3</v>
      </c>
      <c r="I5" s="9"/>
      <c r="L5" s="12" t="s">
        <v>64</v>
      </c>
      <c r="M5" s="20">
        <v>0.6</v>
      </c>
    </row>
    <row r="6" spans="1:13" x14ac:dyDescent="0.2">
      <c r="A6" s="22"/>
      <c r="B6" s="6" t="s">
        <v>6</v>
      </c>
      <c r="C6" s="6" t="str">
        <f t="shared" si="0"/>
        <v>炸药库</v>
      </c>
      <c r="D6" s="17" t="s">
        <v>51</v>
      </c>
      <c r="E6" s="17" t="s">
        <v>52</v>
      </c>
      <c r="F6" s="7" t="s">
        <v>54</v>
      </c>
      <c r="G6" s="8">
        <v>5</v>
      </c>
      <c r="H6" s="8">
        <v>3</v>
      </c>
      <c r="L6" s="12" t="s">
        <v>63</v>
      </c>
      <c r="M6" s="20">
        <f>MIN(H:H)/2.5</f>
        <v>0.8</v>
      </c>
    </row>
    <row r="7" spans="1:13" x14ac:dyDescent="0.2">
      <c r="A7" s="22"/>
      <c r="B7" s="6" t="s">
        <v>7</v>
      </c>
      <c r="C7" s="6" t="str">
        <f t="shared" si="0"/>
        <v>砂石料仓</v>
      </c>
      <c r="D7" s="17" t="s">
        <v>51</v>
      </c>
      <c r="E7" s="17" t="s">
        <v>52</v>
      </c>
      <c r="F7" s="7" t="s">
        <v>54</v>
      </c>
      <c r="G7" s="8">
        <v>8</v>
      </c>
      <c r="H7" s="8">
        <v>10</v>
      </c>
      <c r="L7" s="12" t="s">
        <v>62</v>
      </c>
      <c r="M7" s="20">
        <v>2</v>
      </c>
    </row>
    <row r="8" spans="1:13" x14ac:dyDescent="0.2">
      <c r="A8" s="22"/>
      <c r="B8" s="6" t="s">
        <v>8</v>
      </c>
      <c r="C8" s="6" t="str">
        <f t="shared" si="0"/>
        <v>变压器</v>
      </c>
      <c r="D8" s="17" t="s">
        <v>51</v>
      </c>
      <c r="E8" s="17" t="s">
        <v>52</v>
      </c>
      <c r="F8" s="7" t="s">
        <v>54</v>
      </c>
      <c r="G8" s="8">
        <v>4</v>
      </c>
      <c r="H8" s="8">
        <v>5</v>
      </c>
      <c r="L8" s="12" t="s">
        <v>65</v>
      </c>
      <c r="M8" s="19">
        <v>0.8</v>
      </c>
    </row>
    <row r="9" spans="1:13" ht="14.1" customHeight="1" x14ac:dyDescent="0.2">
      <c r="A9" s="22"/>
      <c r="B9" s="5" t="s">
        <v>29</v>
      </c>
      <c r="C9" s="17" t="s">
        <v>69</v>
      </c>
      <c r="D9" s="17" t="s">
        <v>51</v>
      </c>
      <c r="E9" s="17" t="s">
        <v>52</v>
      </c>
      <c r="F9" s="7" t="s">
        <v>54</v>
      </c>
      <c r="G9" s="8">
        <v>12</v>
      </c>
      <c r="H9" s="8">
        <v>6</v>
      </c>
      <c r="J9" s="5"/>
      <c r="L9" s="12"/>
    </row>
    <row r="10" spans="1:13" ht="14.1" customHeight="1" x14ac:dyDescent="0.2">
      <c r="A10" s="22"/>
      <c r="B10" s="5" t="s">
        <v>28</v>
      </c>
      <c r="C10" s="17" t="s">
        <v>69</v>
      </c>
      <c r="D10" s="17" t="s">
        <v>51</v>
      </c>
      <c r="E10" s="17" t="s">
        <v>52</v>
      </c>
      <c r="F10" s="7" t="s">
        <v>54</v>
      </c>
      <c r="G10" s="8">
        <v>10</v>
      </c>
      <c r="H10" s="8">
        <v>7.5</v>
      </c>
      <c r="J10" s="5"/>
    </row>
    <row r="11" spans="1:13" x14ac:dyDescent="0.2">
      <c r="A11" s="22"/>
      <c r="B11" s="6" t="s">
        <v>9</v>
      </c>
      <c r="C11" s="6" t="str">
        <f t="shared" si="0"/>
        <v>周转材料</v>
      </c>
      <c r="D11" s="17" t="s">
        <v>51</v>
      </c>
      <c r="E11" s="17" t="s">
        <v>51</v>
      </c>
      <c r="F11" s="7" t="s">
        <v>54</v>
      </c>
    </row>
    <row r="12" spans="1:13" x14ac:dyDescent="0.2">
      <c r="A12" s="22"/>
      <c r="B12" s="5" t="s">
        <v>76</v>
      </c>
      <c r="C12" s="17" t="s">
        <v>76</v>
      </c>
      <c r="D12" s="17" t="s">
        <v>51</v>
      </c>
      <c r="E12" s="17" t="s">
        <v>52</v>
      </c>
      <c r="F12" s="7" t="s">
        <v>54</v>
      </c>
      <c r="G12" s="8">
        <v>10</v>
      </c>
      <c r="H12" s="8">
        <v>5</v>
      </c>
    </row>
    <row r="13" spans="1:13" s="18" customFormat="1" x14ac:dyDescent="0.2">
      <c r="A13" s="22"/>
      <c r="B13" s="17" t="s">
        <v>77</v>
      </c>
      <c r="C13" s="17" t="s">
        <v>77</v>
      </c>
      <c r="D13" s="17" t="s">
        <v>51</v>
      </c>
      <c r="E13" s="17" t="s">
        <v>52</v>
      </c>
      <c r="F13" s="7" t="s">
        <v>78</v>
      </c>
      <c r="G13" s="8">
        <v>2.8</v>
      </c>
      <c r="H13" s="8"/>
      <c r="I13" s="8"/>
      <c r="L13" s="13"/>
    </row>
    <row r="14" spans="1:13" x14ac:dyDescent="0.2">
      <c r="A14" s="22"/>
      <c r="B14" s="6" t="s">
        <v>10</v>
      </c>
      <c r="C14" s="6" t="str">
        <f t="shared" si="0"/>
        <v>乙炔</v>
      </c>
      <c r="D14" s="17" t="s">
        <v>51</v>
      </c>
      <c r="E14" s="17" t="s">
        <v>52</v>
      </c>
      <c r="F14" s="7" t="s">
        <v>54</v>
      </c>
      <c r="G14" s="8">
        <v>5</v>
      </c>
      <c r="H14" s="8">
        <v>3</v>
      </c>
    </row>
    <row r="15" spans="1:13" x14ac:dyDescent="0.2">
      <c r="A15" s="22"/>
      <c r="B15" s="6" t="s">
        <v>11</v>
      </c>
      <c r="C15" s="6" t="str">
        <f t="shared" si="0"/>
        <v>油料库</v>
      </c>
      <c r="D15" s="17" t="s">
        <v>51</v>
      </c>
      <c r="E15" s="17" t="s">
        <v>52</v>
      </c>
      <c r="F15" s="7" t="s">
        <v>54</v>
      </c>
      <c r="G15" s="8">
        <v>5</v>
      </c>
      <c r="H15" s="8">
        <v>3</v>
      </c>
      <c r="K15" s="10"/>
    </row>
    <row r="16" spans="1:13" x14ac:dyDescent="0.2">
      <c r="A16" s="22"/>
      <c r="B16" s="5" t="s">
        <v>30</v>
      </c>
      <c r="C16" s="17" t="s">
        <v>70</v>
      </c>
      <c r="D16" s="17" t="s">
        <v>51</v>
      </c>
      <c r="E16" s="17" t="s">
        <v>51</v>
      </c>
      <c r="F16" s="7" t="s">
        <v>54</v>
      </c>
    </row>
    <row r="17" spans="1:10" x14ac:dyDescent="0.2">
      <c r="A17" s="22"/>
      <c r="B17" s="5" t="s">
        <v>31</v>
      </c>
      <c r="C17" s="17" t="s">
        <v>70</v>
      </c>
      <c r="D17" s="17" t="s">
        <v>51</v>
      </c>
      <c r="E17" s="17" t="s">
        <v>51</v>
      </c>
      <c r="F17" s="7" t="s">
        <v>54</v>
      </c>
      <c r="J17" s="18"/>
    </row>
    <row r="18" spans="1:10" x14ac:dyDescent="0.2">
      <c r="A18" s="22"/>
      <c r="B18" s="5" t="s">
        <v>32</v>
      </c>
      <c r="C18" s="17" t="s">
        <v>71</v>
      </c>
      <c r="D18" s="17" t="s">
        <v>51</v>
      </c>
      <c r="E18" s="17" t="s">
        <v>52</v>
      </c>
      <c r="F18" s="7" t="s">
        <v>54</v>
      </c>
      <c r="G18" s="8">
        <v>6</v>
      </c>
      <c r="H18" s="8">
        <v>5</v>
      </c>
      <c r="J18" s="18"/>
    </row>
    <row r="19" spans="1:10" x14ac:dyDescent="0.2">
      <c r="A19" s="22"/>
      <c r="B19" s="5" t="s">
        <v>33</v>
      </c>
      <c r="C19" s="17" t="s">
        <v>72</v>
      </c>
      <c r="D19" s="17" t="s">
        <v>51</v>
      </c>
      <c r="E19" s="17" t="s">
        <v>52</v>
      </c>
      <c r="F19" s="7" t="s">
        <v>54</v>
      </c>
      <c r="G19" s="8">
        <v>4</v>
      </c>
      <c r="H19" s="8">
        <v>3</v>
      </c>
      <c r="J19" s="18"/>
    </row>
    <row r="20" spans="1:10" x14ac:dyDescent="0.2">
      <c r="A20" s="22"/>
      <c r="B20" s="5" t="s">
        <v>34</v>
      </c>
      <c r="C20" s="17" t="s">
        <v>73</v>
      </c>
      <c r="D20" s="17" t="s">
        <v>51</v>
      </c>
      <c r="E20" s="17" t="s">
        <v>52</v>
      </c>
      <c r="F20" s="7" t="s">
        <v>54</v>
      </c>
      <c r="G20" s="8">
        <v>4</v>
      </c>
      <c r="H20" s="8">
        <v>3</v>
      </c>
      <c r="J20" s="18"/>
    </row>
    <row r="21" spans="1:10" x14ac:dyDescent="0.2">
      <c r="A21" s="22"/>
      <c r="B21" s="5" t="s">
        <v>35</v>
      </c>
      <c r="C21" s="17" t="s">
        <v>74</v>
      </c>
      <c r="D21" s="17" t="s">
        <v>51</v>
      </c>
      <c r="E21" s="17" t="s">
        <v>52</v>
      </c>
      <c r="F21" s="7" t="s">
        <v>54</v>
      </c>
      <c r="G21" s="8">
        <v>4</v>
      </c>
      <c r="H21" s="8">
        <v>3</v>
      </c>
      <c r="J21" s="18"/>
    </row>
    <row r="22" spans="1:10" x14ac:dyDescent="0.2">
      <c r="A22" s="22"/>
      <c r="B22" s="5" t="s">
        <v>36</v>
      </c>
      <c r="C22" s="17" t="s">
        <v>71</v>
      </c>
      <c r="D22" s="17" t="s">
        <v>51</v>
      </c>
      <c r="E22" s="17" t="s">
        <v>52</v>
      </c>
      <c r="F22" s="7" t="s">
        <v>54</v>
      </c>
      <c r="G22" s="8">
        <v>6</v>
      </c>
      <c r="H22" s="8">
        <v>7</v>
      </c>
      <c r="J22" s="18"/>
    </row>
    <row r="23" spans="1:10" x14ac:dyDescent="0.2">
      <c r="A23" s="22"/>
      <c r="B23" s="5" t="s">
        <v>37</v>
      </c>
      <c r="C23" s="17" t="s">
        <v>72</v>
      </c>
      <c r="D23" s="17" t="s">
        <v>51</v>
      </c>
      <c r="E23" s="17" t="s">
        <v>52</v>
      </c>
      <c r="F23" s="7" t="s">
        <v>54</v>
      </c>
      <c r="G23" s="8">
        <v>4</v>
      </c>
      <c r="H23" s="8">
        <v>3</v>
      </c>
      <c r="J23" s="18"/>
    </row>
    <row r="24" spans="1:10" x14ac:dyDescent="0.2">
      <c r="A24" s="22"/>
      <c r="B24" s="5" t="s">
        <v>39</v>
      </c>
      <c r="C24" s="17" t="s">
        <v>73</v>
      </c>
      <c r="D24" s="17" t="s">
        <v>51</v>
      </c>
      <c r="E24" s="17" t="s">
        <v>52</v>
      </c>
      <c r="F24" s="7" t="s">
        <v>54</v>
      </c>
      <c r="G24" s="8">
        <v>4</v>
      </c>
      <c r="H24" s="8">
        <v>3</v>
      </c>
      <c r="J24" s="18"/>
    </row>
    <row r="25" spans="1:10" x14ac:dyDescent="0.2">
      <c r="A25" s="22"/>
      <c r="B25" s="5" t="s">
        <v>38</v>
      </c>
      <c r="C25" s="17" t="s">
        <v>74</v>
      </c>
      <c r="D25" s="17" t="s">
        <v>51</v>
      </c>
      <c r="E25" s="17" t="s">
        <v>52</v>
      </c>
      <c r="F25" s="7" t="s">
        <v>54</v>
      </c>
      <c r="G25" s="8">
        <v>5</v>
      </c>
      <c r="H25" s="8">
        <v>2</v>
      </c>
      <c r="J25" s="18"/>
    </row>
    <row r="26" spans="1:10" x14ac:dyDescent="0.2">
      <c r="A26" s="22"/>
      <c r="B26" s="6" t="s">
        <v>12</v>
      </c>
      <c r="C26" s="6" t="str">
        <f t="shared" si="0"/>
        <v>雷管库</v>
      </c>
      <c r="D26" s="17" t="s">
        <v>51</v>
      </c>
      <c r="E26" s="17" t="s">
        <v>52</v>
      </c>
      <c r="F26" s="7" t="s">
        <v>54</v>
      </c>
      <c r="G26" s="8">
        <v>5</v>
      </c>
      <c r="H26" s="8">
        <v>2</v>
      </c>
      <c r="J26" s="18"/>
    </row>
    <row r="27" spans="1:10" x14ac:dyDescent="0.2">
      <c r="A27" s="22"/>
      <c r="B27" s="6" t="s">
        <v>13</v>
      </c>
      <c r="C27" s="6" t="str">
        <f t="shared" si="0"/>
        <v>钢筋存放</v>
      </c>
      <c r="D27" s="17" t="s">
        <v>51</v>
      </c>
      <c r="E27" s="17" t="s">
        <v>52</v>
      </c>
      <c r="F27" s="7" t="s">
        <v>54</v>
      </c>
      <c r="G27" s="8">
        <v>12</v>
      </c>
      <c r="H27" s="8">
        <v>5</v>
      </c>
    </row>
    <row r="28" spans="1:10" x14ac:dyDescent="0.2">
      <c r="A28" s="22"/>
      <c r="B28" s="5" t="s">
        <v>27</v>
      </c>
      <c r="C28" s="6" t="str">
        <f t="shared" si="0"/>
        <v>钢筋加工</v>
      </c>
      <c r="D28" s="17" t="s">
        <v>51</v>
      </c>
      <c r="E28" s="17" t="s">
        <v>52</v>
      </c>
      <c r="F28" s="7" t="s">
        <v>54</v>
      </c>
      <c r="G28" s="8">
        <v>12</v>
      </c>
      <c r="H28" s="8">
        <v>5</v>
      </c>
    </row>
    <row r="29" spans="1:10" x14ac:dyDescent="0.2">
      <c r="A29" s="22"/>
      <c r="B29" s="5" t="s">
        <v>40</v>
      </c>
      <c r="C29" s="17" t="s">
        <v>75</v>
      </c>
      <c r="D29" s="17" t="s">
        <v>51</v>
      </c>
      <c r="E29" s="17" t="s">
        <v>52</v>
      </c>
      <c r="F29" s="7" t="s">
        <v>54</v>
      </c>
      <c r="G29" s="8">
        <v>3</v>
      </c>
      <c r="H29" s="8">
        <v>2</v>
      </c>
    </row>
    <row r="30" spans="1:10" x14ac:dyDescent="0.2">
      <c r="A30" s="22"/>
      <c r="B30" s="5" t="s">
        <v>41</v>
      </c>
      <c r="C30" s="17" t="s">
        <v>75</v>
      </c>
      <c r="D30" s="17" t="s">
        <v>51</v>
      </c>
      <c r="E30" s="17" t="s">
        <v>52</v>
      </c>
      <c r="F30" s="7" t="s">
        <v>54</v>
      </c>
      <c r="G30" s="8">
        <v>4</v>
      </c>
      <c r="H30" s="8">
        <v>2</v>
      </c>
    </row>
    <row r="31" spans="1:10" x14ac:dyDescent="0.2">
      <c r="A31" s="22"/>
      <c r="B31" s="5" t="s">
        <v>43</v>
      </c>
      <c r="C31" s="6" t="str">
        <f t="shared" si="0"/>
        <v>卫生间1</v>
      </c>
      <c r="D31" s="17" t="s">
        <v>51</v>
      </c>
      <c r="E31" s="17" t="s">
        <v>52</v>
      </c>
      <c r="F31" s="7" t="s">
        <v>54</v>
      </c>
      <c r="G31" s="8">
        <v>4</v>
      </c>
      <c r="H31" s="8">
        <v>3</v>
      </c>
    </row>
    <row r="32" spans="1:10" x14ac:dyDescent="0.2">
      <c r="A32" s="22"/>
      <c r="B32" s="5" t="s">
        <v>42</v>
      </c>
      <c r="C32" s="6" t="str">
        <f t="shared" si="0"/>
        <v>卫生间2</v>
      </c>
      <c r="D32" s="17" t="s">
        <v>51</v>
      </c>
      <c r="E32" s="17" t="s">
        <v>52</v>
      </c>
      <c r="F32" s="7" t="s">
        <v>54</v>
      </c>
      <c r="G32" s="8">
        <v>3</v>
      </c>
      <c r="H32" s="8">
        <v>2</v>
      </c>
    </row>
    <row r="33" spans="1:8" x14ac:dyDescent="0.2">
      <c r="A33" s="22"/>
      <c r="B33" s="5" t="s">
        <v>44</v>
      </c>
      <c r="C33" s="6" t="str">
        <f t="shared" si="0"/>
        <v>办公室1</v>
      </c>
      <c r="D33" s="17" t="s">
        <v>51</v>
      </c>
      <c r="E33" s="17" t="s">
        <v>52</v>
      </c>
      <c r="F33" s="7" t="s">
        <v>54</v>
      </c>
      <c r="G33" s="8">
        <v>8</v>
      </c>
      <c r="H33" s="8">
        <v>5</v>
      </c>
    </row>
    <row r="34" spans="1:8" x14ac:dyDescent="0.2">
      <c r="A34" s="22"/>
      <c r="B34" s="5" t="s">
        <v>45</v>
      </c>
      <c r="C34" s="6" t="str">
        <f t="shared" si="0"/>
        <v>办公室2</v>
      </c>
      <c r="D34" s="17" t="s">
        <v>51</v>
      </c>
      <c r="E34" s="17" t="s">
        <v>52</v>
      </c>
      <c r="F34" s="7" t="s">
        <v>54</v>
      </c>
      <c r="G34" s="8">
        <v>5</v>
      </c>
      <c r="H34" s="8">
        <v>4</v>
      </c>
    </row>
    <row r="35" spans="1:8" x14ac:dyDescent="0.2">
      <c r="A35" s="22"/>
      <c r="B35" s="6" t="s">
        <v>14</v>
      </c>
      <c r="C35" s="6" t="str">
        <f t="shared" si="0"/>
        <v>安全展示厅</v>
      </c>
      <c r="D35" s="17" t="s">
        <v>51</v>
      </c>
      <c r="E35" s="17" t="s">
        <v>52</v>
      </c>
      <c r="F35" s="7" t="s">
        <v>54</v>
      </c>
      <c r="G35" s="8">
        <v>6</v>
      </c>
      <c r="H35" s="8">
        <v>5</v>
      </c>
    </row>
    <row r="36" spans="1:8" x14ac:dyDescent="0.2">
      <c r="A36" s="22"/>
      <c r="B36" s="6" t="s">
        <v>15</v>
      </c>
      <c r="C36" s="6" t="str">
        <f t="shared" si="0"/>
        <v>视频监控</v>
      </c>
      <c r="D36" s="17" t="s">
        <v>51</v>
      </c>
      <c r="E36" s="17" t="s">
        <v>52</v>
      </c>
      <c r="F36" s="7" t="s">
        <v>54</v>
      </c>
      <c r="G36" s="8">
        <v>6</v>
      </c>
      <c r="H36" s="8">
        <v>5</v>
      </c>
    </row>
    <row r="37" spans="1:8" x14ac:dyDescent="0.2">
      <c r="A37" s="22"/>
      <c r="B37" s="6" t="s">
        <v>16</v>
      </c>
      <c r="C37" s="6" t="str">
        <f t="shared" si="0"/>
        <v>物资库房</v>
      </c>
      <c r="D37" s="17" t="s">
        <v>51</v>
      </c>
      <c r="E37" s="17" t="s">
        <v>52</v>
      </c>
      <c r="F37" s="7" t="s">
        <v>54</v>
      </c>
      <c r="G37" s="8">
        <v>5</v>
      </c>
      <c r="H37" s="8">
        <v>5</v>
      </c>
    </row>
    <row r="38" spans="1:8" x14ac:dyDescent="0.2">
      <c r="A38" s="22"/>
      <c r="B38" s="6" t="s">
        <v>17</v>
      </c>
      <c r="C38" s="6" t="str">
        <f t="shared" si="0"/>
        <v>八牌二图</v>
      </c>
      <c r="D38" s="17" t="s">
        <v>51</v>
      </c>
      <c r="E38" s="17" t="s">
        <v>52</v>
      </c>
      <c r="F38" s="7" t="s">
        <v>60</v>
      </c>
      <c r="G38" s="8">
        <v>12</v>
      </c>
    </row>
    <row r="39" spans="1:8" x14ac:dyDescent="0.2">
      <c r="A39" s="22"/>
      <c r="B39" s="6" t="s">
        <v>18</v>
      </c>
      <c r="C39" s="6" t="str">
        <f t="shared" si="0"/>
        <v>消防器材若干</v>
      </c>
      <c r="D39" s="17" t="s">
        <v>51</v>
      </c>
      <c r="E39" s="17" t="s">
        <v>52</v>
      </c>
      <c r="F39" s="7" t="s">
        <v>54</v>
      </c>
      <c r="G39" s="8">
        <v>3</v>
      </c>
      <c r="H39" s="8">
        <v>2</v>
      </c>
    </row>
    <row r="40" spans="1:8" x14ac:dyDescent="0.2">
      <c r="A40" s="22"/>
      <c r="B40" s="6" t="s">
        <v>19</v>
      </c>
      <c r="C40" s="6" t="str">
        <f t="shared" si="0"/>
        <v>安全、文化宣传栏</v>
      </c>
      <c r="D40" s="17" t="s">
        <v>51</v>
      </c>
      <c r="E40" s="17" t="s">
        <v>52</v>
      </c>
      <c r="F40" s="7" t="s">
        <v>60</v>
      </c>
      <c r="G40" s="8">
        <v>4</v>
      </c>
    </row>
    <row r="41" spans="1:8" x14ac:dyDescent="0.2">
      <c r="A41" s="22"/>
      <c r="B41" s="5" t="s">
        <v>25</v>
      </c>
      <c r="C41" s="6" t="str">
        <f t="shared" si="0"/>
        <v>应急宿舍</v>
      </c>
      <c r="D41" s="17" t="s">
        <v>51</v>
      </c>
      <c r="E41" s="17" t="s">
        <v>52</v>
      </c>
      <c r="F41" s="7" t="s">
        <v>54</v>
      </c>
      <c r="G41" s="8">
        <v>5</v>
      </c>
      <c r="H41" s="8">
        <v>7</v>
      </c>
    </row>
    <row r="42" spans="1:8" x14ac:dyDescent="0.2">
      <c r="A42" s="22"/>
      <c r="B42" s="6" t="s">
        <v>20</v>
      </c>
      <c r="C42" s="6" t="str">
        <f t="shared" si="0"/>
        <v>氧气库</v>
      </c>
      <c r="D42" s="17" t="s">
        <v>51</v>
      </c>
      <c r="E42" s="17" t="s">
        <v>52</v>
      </c>
      <c r="F42" s="7" t="s">
        <v>54</v>
      </c>
      <c r="G42" s="8">
        <v>5</v>
      </c>
      <c r="H42" s="8">
        <v>2</v>
      </c>
    </row>
    <row r="43" spans="1:8" x14ac:dyDescent="0.2">
      <c r="A43" s="22"/>
      <c r="B43" s="5" t="s">
        <v>24</v>
      </c>
      <c r="C43" s="6" t="str">
        <f t="shared" si="0"/>
        <v>轴流风机</v>
      </c>
      <c r="D43" s="17" t="s">
        <v>51</v>
      </c>
      <c r="E43" s="17" t="s">
        <v>52</v>
      </c>
      <c r="F43" s="7" t="s">
        <v>54</v>
      </c>
      <c r="G43" s="8">
        <v>6</v>
      </c>
      <c r="H43" s="8">
        <v>3</v>
      </c>
    </row>
    <row r="44" spans="1:8" x14ac:dyDescent="0.2">
      <c r="A44" s="23" t="s">
        <v>50</v>
      </c>
      <c r="B44" s="6" t="s">
        <v>21</v>
      </c>
      <c r="C44" s="6" t="str">
        <f>B44</f>
        <v>交通标志（行车行人）</v>
      </c>
      <c r="D44" s="17" t="s">
        <v>51</v>
      </c>
      <c r="E44" s="15" t="s">
        <v>68</v>
      </c>
      <c r="F44" s="7"/>
    </row>
    <row r="45" spans="1:8" x14ac:dyDescent="0.2">
      <c r="A45" s="24"/>
      <c r="B45" s="6" t="s">
        <v>22</v>
      </c>
      <c r="C45" s="6" t="str">
        <f t="shared" si="0"/>
        <v>电力缆线布置</v>
      </c>
      <c r="D45" s="17" t="s">
        <v>51</v>
      </c>
      <c r="E45" s="15" t="s">
        <v>68</v>
      </c>
      <c r="F45" s="7"/>
    </row>
    <row r="46" spans="1:8" x14ac:dyDescent="0.2">
      <c r="A46" s="24"/>
      <c r="B46" s="6" t="s">
        <v>23</v>
      </c>
      <c r="C46" s="6" t="str">
        <f t="shared" si="0"/>
        <v>给排水</v>
      </c>
      <c r="D46" s="15" t="s">
        <v>51</v>
      </c>
      <c r="E46" s="15" t="s">
        <v>68</v>
      </c>
      <c r="F46" s="7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A2:A43"/>
    <mergeCell ref="A44:A46"/>
  </mergeCells>
  <phoneticPr fontId="1" type="noConversion"/>
  <conditionalFormatting sqref="B2:C147">
    <cfRule type="expression" dxfId="0" priority="1">
      <formula>$D2="N"</formula>
    </cfRule>
  </conditionalFormatting>
  <dataValidations count="2">
    <dataValidation type="list" errorStyle="information" allowBlank="1" showInputMessage="1" showErrorMessage="1" sqref="D1:E1048576">
      <formula1>"Y,N"</formula1>
    </dataValidation>
    <dataValidation type="list" allowBlank="1" showInputMessage="1" showErrorMessage="1" sqref="F1:F1048576">
      <formula1>"Rectangle,Line,Circle,Undefine"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场布图生成">
                <anchor moveWithCells="1" sizeWithCells="1">
                  <from>
                    <xdr:col>11</xdr:col>
                    <xdr:colOff>57150</xdr:colOff>
                    <xdr:row>17</xdr:row>
                    <xdr:rowOff>19050</xdr:rowOff>
                  </from>
                  <to>
                    <xdr:col>11</xdr:col>
                    <xdr:colOff>1219200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XX工点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XSD</dc:creator>
  <cp:lastModifiedBy>Xiaoshide</cp:lastModifiedBy>
  <dcterms:created xsi:type="dcterms:W3CDTF">2015-06-05T18:19:00Z</dcterms:created>
  <dcterms:modified xsi:type="dcterms:W3CDTF">2018-06-18T01:27:51Z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